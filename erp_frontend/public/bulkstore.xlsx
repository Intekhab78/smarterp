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13_ncr:1_{5A75FB04-F3E0-496D-B35E-ED16AF63FA5A}" xr6:coauthVersionLast="47" xr6:coauthVersionMax="47" xr10:uidLastSave="{00000000-0000-0000-0000-000000000000}"/>
  <bookViews>
    <workbookView xWindow="-110" yWindow="-110" windowWidth="19420" windowHeight="11500" xr2:uid="{C6BA5BF2-39F1-4FB4-8AA9-E5A314D26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P3" i="1"/>
  <c r="P2" i="1"/>
</calcChain>
</file>

<file path=xl/sharedStrings.xml><?xml version="1.0" encoding="utf-8"?>
<sst xmlns="http://schemas.openxmlformats.org/spreadsheetml/2006/main" count="101" uniqueCount="62">
  <si>
    <t>itemupc</t>
  </si>
  <si>
    <t>itemcatname</t>
  </si>
  <si>
    <t>item_code</t>
  </si>
  <si>
    <t>item_name</t>
  </si>
  <si>
    <t>author</t>
  </si>
  <si>
    <t>publisher</t>
  </si>
  <si>
    <t>language</t>
  </si>
  <si>
    <t>pages</t>
  </si>
  <si>
    <t>khana</t>
  </si>
  <si>
    <t>cost</t>
  </si>
  <si>
    <t>mrp</t>
  </si>
  <si>
    <t>hsncode</t>
  </si>
  <si>
    <t>description</t>
  </si>
  <si>
    <t>itemcost</t>
  </si>
  <si>
    <t>color</t>
  </si>
  <si>
    <t>size</t>
  </si>
  <si>
    <t>department</t>
  </si>
  <si>
    <t>family</t>
  </si>
  <si>
    <t>sub_family</t>
  </si>
  <si>
    <t>brand_name</t>
  </si>
  <si>
    <t>uom</t>
  </si>
  <si>
    <t>tax</t>
  </si>
  <si>
    <t>costing_method</t>
  </si>
  <si>
    <t>supplier_name</t>
  </si>
  <si>
    <t>company_id</t>
  </si>
  <si>
    <t>location_id</t>
  </si>
  <si>
    <t>status</t>
  </si>
  <si>
    <t>itemref</t>
  </si>
  <si>
    <t>stylecode</t>
  </si>
  <si>
    <t>minstklvl</t>
  </si>
  <si>
    <t>maxstklvl</t>
  </si>
  <si>
    <t>itmstkmgmt</t>
  </si>
  <si>
    <t>itmwweight</t>
  </si>
  <si>
    <t>itmwpurunit</t>
  </si>
  <si>
    <t>itmwsalesunit</t>
  </si>
  <si>
    <t>note1</t>
  </si>
  <si>
    <t>note2</t>
  </si>
  <si>
    <t>note3</t>
  </si>
  <si>
    <t>itmdt1</t>
  </si>
  <si>
    <t>itmdt2</t>
  </si>
  <si>
    <t>itmexpiry</t>
  </si>
  <si>
    <t>IT101165</t>
  </si>
  <si>
    <t>AT0001</t>
  </si>
  <si>
    <t>Magnet</t>
  </si>
  <si>
    <t>Magnet 3ml</t>
  </si>
  <si>
    <t>SAL501112</t>
  </si>
  <si>
    <t>IT101276</t>
  </si>
  <si>
    <t xml:space="preserve"> FAM10044</t>
  </si>
  <si>
    <t>SUB10031</t>
  </si>
  <si>
    <t>IT101322</t>
  </si>
  <si>
    <t>IT101342</t>
  </si>
  <si>
    <t>SUP10117</t>
  </si>
  <si>
    <t>COM10035</t>
  </si>
  <si>
    <t>active</t>
  </si>
  <si>
    <t>ATAR-MAGNET</t>
  </si>
  <si>
    <t>3ML</t>
  </si>
  <si>
    <t>AT0002</t>
  </si>
  <si>
    <t>Magnet 6ml</t>
  </si>
  <si>
    <t xml:space="preserve"> IT101276</t>
  </si>
  <si>
    <t>AT0003</t>
  </si>
  <si>
    <t>Magnet 12ml</t>
  </si>
  <si>
    <t>LOC10030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</si>
</sst>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left" vertical="center"/>
    </xf>
    <xf numFmtId="2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54DE-F08B-411B-B557-9A6BB0479D3D}">
  <dimension ref="A1:AO4"/>
  <sheetViews>
    <sheetView tabSelected="1" topLeftCell="T1" workbookViewId="0">
      <selection activeCell="Z4" sqref="Z4"/>
    </sheetView>
  </sheetViews>
  <sheetFormatPr defaultRowHeight="14.5" x14ac:dyDescent="0.35"/>
  <cols>
    <col min="25" max="25" width="14" customWidth="1"/>
    <col min="26" max="26" width="20.08984375" customWidth="1"/>
  </cols>
  <sheetData>
    <row r="1" spans="1:41" x14ac:dyDescent="0.35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12001</v>
      </c>
      <c r="B2" t="s">
        <v>41</v>
      </c>
      <c r="C2" s="4" t="s">
        <v>42</v>
      </c>
      <c r="D2" s="4" t="s">
        <v>43</v>
      </c>
      <c r="H2">
        <v>0</v>
      </c>
      <c r="I2">
        <v>0</v>
      </c>
      <c r="J2" s="5">
        <v>100</v>
      </c>
      <c r="K2" s="6">
        <v>118</v>
      </c>
      <c r="L2">
        <v>33030040</v>
      </c>
      <c r="M2" s="4" t="s">
        <v>44</v>
      </c>
      <c r="N2" s="5">
        <v>100</v>
      </c>
      <c r="O2" t="s">
        <v>45</v>
      </c>
      <c r="P2" t="str">
        <f>IF(ISNUMBER(SEARCH("3ml",M2)),"SIZ10033",
IF(ISNUMBER(SEARCH("6ml",M2)),"SIZ10034",
IF(ISNUMBER(SEARCH("12ml",M2)),"SIZ10035","")))</f>
        <v>SIZ10033</v>
      </c>
      <c r="Q2" t="s">
        <v>46</v>
      </c>
      <c r="R2" t="s">
        <v>47</v>
      </c>
      <c r="S2" t="s">
        <v>48</v>
      </c>
      <c r="T2" t="s">
        <v>49</v>
      </c>
      <c r="U2" t="s">
        <v>45</v>
      </c>
      <c r="V2" t="s">
        <v>50</v>
      </c>
      <c r="W2">
        <v>0</v>
      </c>
      <c r="X2" t="s">
        <v>51</v>
      </c>
      <c r="Y2" t="s">
        <v>52</v>
      </c>
      <c r="Z2" t="s">
        <v>61</v>
      </c>
      <c r="AA2" t="s">
        <v>53</v>
      </c>
      <c r="AB2" t="s">
        <v>54</v>
      </c>
      <c r="AC2" t="s">
        <v>54</v>
      </c>
      <c r="AD2">
        <v>100</v>
      </c>
      <c r="AE2">
        <v>100</v>
      </c>
      <c r="AF2">
        <v>0</v>
      </c>
      <c r="AG2" t="s">
        <v>55</v>
      </c>
      <c r="AH2" t="s">
        <v>45</v>
      </c>
      <c r="AI2" t="s">
        <v>45</v>
      </c>
    </row>
    <row r="3" spans="1:41" x14ac:dyDescent="0.35">
      <c r="A3">
        <v>12002</v>
      </c>
      <c r="B3" t="s">
        <v>41</v>
      </c>
      <c r="C3" s="4" t="s">
        <v>56</v>
      </c>
      <c r="D3" s="4" t="s">
        <v>43</v>
      </c>
      <c r="H3">
        <v>0</v>
      </c>
      <c r="I3">
        <v>0</v>
      </c>
      <c r="J3" s="5">
        <v>200</v>
      </c>
      <c r="K3" s="6">
        <v>236</v>
      </c>
      <c r="L3">
        <v>33030040</v>
      </c>
      <c r="M3" s="4" t="s">
        <v>57</v>
      </c>
      <c r="N3" s="5">
        <v>200</v>
      </c>
      <c r="O3" t="s">
        <v>45</v>
      </c>
      <c r="P3" t="str">
        <f t="shared" ref="P3:P4" si="0">IF(ISNUMBER(SEARCH("3ml",M3)),"SIZ10033",
IF(ISNUMBER(SEARCH("6ml",M3)),"SIZ10034",
IF(ISNUMBER(SEARCH("12ml",M3)),"SIZ10035","")))</f>
        <v>SIZ10034</v>
      </c>
      <c r="Q3" t="s">
        <v>58</v>
      </c>
      <c r="R3" t="s">
        <v>47</v>
      </c>
      <c r="S3" t="s">
        <v>48</v>
      </c>
      <c r="T3" t="s">
        <v>49</v>
      </c>
      <c r="U3" t="s">
        <v>45</v>
      </c>
      <c r="V3" t="s">
        <v>50</v>
      </c>
      <c r="W3">
        <v>0</v>
      </c>
      <c r="X3" t="s">
        <v>51</v>
      </c>
      <c r="Y3" t="s">
        <v>52</v>
      </c>
      <c r="Z3" t="s">
        <v>61</v>
      </c>
      <c r="AA3" t="s">
        <v>53</v>
      </c>
      <c r="AB3" t="s">
        <v>54</v>
      </c>
      <c r="AC3" t="s">
        <v>54</v>
      </c>
      <c r="AD3">
        <v>100</v>
      </c>
      <c r="AE3">
        <v>100</v>
      </c>
      <c r="AF3">
        <v>0</v>
      </c>
      <c r="AG3" t="s">
        <v>55</v>
      </c>
      <c r="AH3" t="s">
        <v>45</v>
      </c>
      <c r="AI3" t="s">
        <v>45</v>
      </c>
    </row>
    <row r="4" spans="1:41" x14ac:dyDescent="0.35">
      <c r="A4">
        <v>12003</v>
      </c>
      <c r="B4" t="s">
        <v>41</v>
      </c>
      <c r="C4" s="4" t="s">
        <v>59</v>
      </c>
      <c r="D4" s="4" t="s">
        <v>43</v>
      </c>
      <c r="H4">
        <v>0</v>
      </c>
      <c r="I4">
        <v>0</v>
      </c>
      <c r="J4" s="5">
        <v>400</v>
      </c>
      <c r="K4" s="6">
        <v>472</v>
      </c>
      <c r="L4">
        <v>33030040</v>
      </c>
      <c r="M4" s="4" t="s">
        <v>60</v>
      </c>
      <c r="N4" s="5">
        <v>400</v>
      </c>
      <c r="O4" t="s">
        <v>45</v>
      </c>
      <c r="P4" t="str">
        <f t="shared" si="0"/>
        <v>SIZ10035</v>
      </c>
      <c r="Q4" t="s">
        <v>58</v>
      </c>
      <c r="R4" t="s">
        <v>47</v>
      </c>
      <c r="S4" t="s">
        <v>48</v>
      </c>
      <c r="T4" t="s">
        <v>49</v>
      </c>
      <c r="U4" t="s">
        <v>45</v>
      </c>
      <c r="V4" t="s">
        <v>50</v>
      </c>
      <c r="W4">
        <v>0</v>
      </c>
      <c r="X4" t="s">
        <v>51</v>
      </c>
      <c r="Y4" t="s">
        <v>52</v>
      </c>
      <c r="Z4" t="s">
        <v>61</v>
      </c>
      <c r="AA4" t="s">
        <v>53</v>
      </c>
      <c r="AB4" t="s">
        <v>54</v>
      </c>
      <c r="AC4" t="s">
        <v>54</v>
      </c>
      <c r="AD4">
        <v>100</v>
      </c>
      <c r="AE4">
        <v>100</v>
      </c>
      <c r="AF4">
        <v>0</v>
      </c>
      <c r="AG4" t="s">
        <v>55</v>
      </c>
      <c r="AH4" t="s">
        <v>45</v>
      </c>
      <c r="AI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yadav</dc:creator>
  <cp:lastModifiedBy>ashish yadav</cp:lastModifiedBy>
  <dcterms:created xsi:type="dcterms:W3CDTF">2026-01-02T11:00:17Z</dcterms:created>
  <dcterms:modified xsi:type="dcterms:W3CDTF">2026-01-02T11:12:48Z</dcterms:modified>
</cp:coreProperties>
</file>